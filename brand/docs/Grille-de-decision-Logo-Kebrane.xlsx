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ègles &amp; Poids" sheetId="1" state="visible" r:id="rId1"/>
    <sheet xmlns:r="http://schemas.openxmlformats.org/officeDocument/2006/relationships" name="Filtres éliminatoires" sheetId="2" state="visible" r:id="rId2"/>
    <sheet xmlns:r="http://schemas.openxmlformats.org/officeDocument/2006/relationships" name="Notation pondérée" sheetId="3" state="visible" r:id="rId3"/>
    <sheet xmlns:r="http://schemas.openxmlformats.org/officeDocument/2006/relationships" name="Verdict &amp; Registr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1F3352"/>
      <sz val="16"/>
    </font>
    <font>
      <name val="Georgia"/>
      <charset val="1"/>
      <family val="0"/>
      <i val="1"/>
      <color rgb="FF666666"/>
      <sz val="11"/>
    </font>
    <font>
      <name val="Calibri"/>
      <charset val="1"/>
      <family val="0"/>
      <b val="1"/>
      <color rgb="FF1F3352"/>
      <sz val="11"/>
    </font>
    <font>
      <name val="Calibri"/>
      <charset val="1"/>
      <family val="0"/>
      <color rgb="FF1A1A1A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FF"/>
      <sz val="11"/>
    </font>
    <font>
      <name val="Calibri"/>
      <charset val="1"/>
      <family val="0"/>
      <i val="1"/>
      <color rgb="FF666666"/>
      <sz val="10"/>
    </font>
    <font>
      <name val="Calibri"/>
      <i val="1"/>
      <color rgb="00A5322C"/>
      <sz val="10"/>
    </font>
  </fonts>
  <fills count="6">
    <fill>
      <patternFill/>
    </fill>
    <fill>
      <patternFill patternType="gray125"/>
    </fill>
    <fill>
      <patternFill patternType="solid">
        <fgColor rgb="FFA5322C"/>
        <bgColor rgb="FF993366"/>
      </patternFill>
    </fill>
    <fill>
      <patternFill patternType="solid">
        <fgColor rgb="FF1F3352"/>
        <bgColor rgb="FF003366"/>
      </patternFill>
    </fill>
    <fill>
      <patternFill patternType="solid">
        <fgColor rgb="FFFFF6D6"/>
        <bgColor rgb="FFF1EFEA"/>
      </patternFill>
    </fill>
    <fill>
      <patternFill patternType="solid">
        <fgColor rgb="FFF1EFEA"/>
        <bgColor rgb="FFFFF6D6"/>
      </patternFill>
    </fill>
  </fills>
  <borders count="5">
    <border>
      <left/>
      <right/>
      <top/>
      <bottom/>
      <diagonal/>
    </border>
    <border>
      <left style="thin">
        <color rgb="FFD9D5CE"/>
      </left>
      <right style="thin">
        <color rgb="FFD9D5CE"/>
      </right>
      <top style="thin">
        <color rgb="FFD9D5CE"/>
      </top>
      <bottom style="thin">
        <color rgb="FFD9D5CE"/>
      </bottom>
      <diagonal/>
    </border>
    <border>
      <left style="thin">
        <color rgb="FFD9D5CE"/>
      </left>
      <right/>
      <top style="thin">
        <color rgb="FFD9D5CE"/>
      </top>
      <bottom/>
      <diagonal/>
    </border>
    <border>
      <left/>
      <right/>
      <top style="thin">
        <color rgb="FFD9D5CE"/>
      </top>
      <bottom/>
      <diagonal/>
    </border>
    <border>
      <left style="thin">
        <color rgb="FFD9D5CE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bottom"/>
    </xf>
    <xf numFmtId="0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bottom"/>
    </xf>
    <xf numFmtId="0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F1EFEA"/>
      <rgbColor rgb="FF660066"/>
      <rgbColor rgb="FFFF8080"/>
      <rgbColor rgb="FF0066CC"/>
      <rgbColor rgb="FFD9D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A5322C"/>
      <rgbColor rgb="FF993366"/>
      <rgbColor rgb="FF333399"/>
      <rgbColor rgb="FF1F33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B8" authorId="0" shapeId="0">
      <text>
        <t>À 16 px les deux barres médianes retirées disparaissent, mais le mot-symbole reste lisible.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6" authorId="0" shapeId="0">
      <text>
        <t>Le retrait de la barre = la barrière, ancré dans le mot même. Expression la plus pure du principe.</t>
      </text>
    </comment>
    <comment ref="C6" authorId="0" shapeId="0">
      <text>
        <t>A-marks fréquents + risque chevron : distinction à gagner au dessin.</t>
      </text>
    </comment>
    <comment ref="D6" authorId="0" shapeId="0">
      <text>
        <t>C'est une lettre : reconstructible de mémoire.</t>
      </text>
    </comment>
    <comment ref="E6" authorId="0" shapeId="0">
      <text>
        <t>Monogramme idéal en icône d'app et en verrou de sous-marque.</t>
      </text>
    </comment>
    <comment ref="F6" authorId="0" shapeId="0">
      <text>
        <t>Forme de lettre : intemporelle.</t>
      </text>
    </comment>
    <comment ref="B7" authorId="0" shapeId="0">
      <text>
        <t>Retrait littéral d'un segment, fort, mais un cran plus générique.</t>
      </text>
    </comment>
    <comment ref="C7" authorId="0" shapeId="0">
      <text>
        <t>Risque de confusion avec une icône « menu » / pictogramme existant. Point faible.</t>
      </text>
    </comment>
    <comment ref="D7" authorId="0" shapeId="0">
      <text>
        <t>Mémorisable, sans plus.</t>
      </text>
    </comment>
    <comment ref="E7" authorId="0" shapeId="0">
      <text>
        <t>Se décline bien.</t>
      </text>
    </comment>
    <comment ref="F7" authorId="0" shapeId="0">
      <text>
        <t>Abstraction intemporelle.</t>
      </text>
    </comment>
    <comment ref="B8" authorId="0" shapeId="0">
      <text>
        <t>Découpe = retrait, mais lit « une porte » autant que « une barrière tombée ».</t>
      </text>
    </comment>
    <comment ref="C8" authorId="0" shapeId="0">
      <text>
        <t>Motif porte/arche courant : cliché à éviter par la coupe.</t>
      </text>
    </comment>
    <comment ref="D8" authorId="0" shapeId="0">
      <text>
        <t>Un seuil se retient bien.</t>
      </text>
    </comment>
    <comment ref="E8" authorId="0" shapeId="0">
      <text>
        <t>Bonne réserve, se décline.</t>
      </text>
    </comment>
    <comment ref="F8" authorId="0" shapeId="0">
      <text>
        <t>Forme sobre, tient dans le temps.</t>
      </text>
    </comment>
    <comment ref="B9" authorId="0" shapeId="0">
      <text>
        <t>Le retrait de la barre médiane du E est subtil, parfois illisible comme geste.</t>
      </text>
    </comment>
    <comment ref="C9" authorId="0" shapeId="0">
      <text>
        <t>Correct, sans singularité forte.</t>
      </text>
    </comment>
    <comment ref="D9" authorId="0" shapeId="0">
      <text>
        <t>Difficile à reconstruire de mémoire.</t>
      </text>
    </comment>
    <comment ref="E9" authorId="0" shapeId="0">
      <text>
        <t>Deux E côte à côte = large : mauvaise icône d'app carrée.</t>
      </text>
    </comment>
    <comment ref="F9" authorId="0" shapeId="0">
      <text>
        <t>Conceptuel, âge moyen.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7" min="1" max="1"/>
    <col width="16" customWidth="1" style="27" min="2" max="2"/>
    <col width="52" customWidth="1" style="27" min="3" max="3"/>
  </cols>
  <sheetData>
    <row r="1" ht="19.7" customHeight="1" s="28">
      <c r="A1" s="29" t="inlineStr">
        <is>
          <t>K E B R A N E — Grille de décision  ·  Logo</t>
        </is>
      </c>
    </row>
    <row r="2" ht="15" customHeight="1" s="28">
      <c r="A2" s="30" t="inlineStr">
        <is>
          <t>Instrument verrouillé avant notation. On fixe les poids d'abord ; on score à froid ensuite.</t>
        </is>
      </c>
    </row>
    <row r="4" ht="15" customHeight="1" s="28">
      <c r="A4" s="31" t="inlineStr">
        <is>
          <t>Date de verrouillage des poids :</t>
        </is>
      </c>
      <c r="B4" s="32" t="inlineStr">
        <is>
          <t>2026-07-29</t>
        </is>
      </c>
    </row>
    <row r="5" ht="15" customHeight="1" s="28">
      <c r="A5" s="31" t="inlineStr">
        <is>
          <t>Responsable de la décision :</t>
        </is>
      </c>
      <c r="B5" s="32" t="inlineStr">
        <is>
          <t>Profi</t>
        </is>
      </c>
    </row>
    <row r="6" ht="46.25" customHeight="1" s="28">
      <c r="A6" s="31" t="inlineStr">
        <is>
          <t>Principe directeur :</t>
        </is>
      </c>
      <c r="B6" s="32" t="inlineStr">
        <is>
          <t>Le sens naît du retrait. La barrière retirée est le dessin.</t>
        </is>
      </c>
    </row>
    <row r="8" ht="15" customHeight="1" s="28">
      <c r="A8" s="33" t="inlineStr">
        <is>
          <t>POIDS DES CRITÈRES — verrouillés AVANT toute notation</t>
        </is>
      </c>
    </row>
    <row r="9" ht="15" customHeight="1" s="28">
      <c r="A9" s="34" t="inlineStr">
        <is>
          <t>Critère</t>
        </is>
      </c>
      <c r="B9" s="34" t="inlineStr">
        <is>
          <t>Poids (%)</t>
        </is>
      </c>
      <c r="C9" s="34" t="inlineStr">
        <is>
          <t>Ce que ça mesure</t>
        </is>
      </c>
    </row>
    <row r="10" ht="15" customHeight="1" s="28">
      <c r="A10" s="35" t="inlineStr">
        <is>
          <t>Intégrité soustractive</t>
        </is>
      </c>
      <c r="B10" s="36" t="n">
        <v>25</v>
      </c>
      <c r="C10" s="35" t="inlineStr">
        <is>
          <t>Le sens naît-il vraiment d'un retrait, pas d'un ajout ?</t>
        </is>
      </c>
    </row>
    <row r="11" ht="23.85" customHeight="1" s="28">
      <c r="A11" s="35" t="inlineStr">
        <is>
          <t>Distinction</t>
        </is>
      </c>
      <c r="B11" s="36" t="n">
        <v>20</v>
      </c>
      <c r="C11" s="35" t="inlineStr">
        <is>
          <t>Ne ressemble à rien de connu ; pas de confusion avec une icône générique.</t>
        </is>
      </c>
    </row>
    <row r="12" ht="15" customHeight="1" s="28">
      <c r="A12" s="35" t="inlineStr">
        <is>
          <t>Mémorabilité</t>
        </is>
      </c>
      <c r="B12" s="36" t="n">
        <v>20</v>
      </c>
      <c r="C12" s="35" t="inlineStr">
        <is>
          <t>Reconstructible de mémoire par un inconnu.</t>
        </is>
      </c>
    </row>
    <row r="13" ht="15" customHeight="1" s="28">
      <c r="A13" s="35" t="inlineStr">
        <is>
          <t>Extensibilité</t>
        </is>
      </c>
      <c r="B13" s="36" t="n">
        <v>20</v>
      </c>
      <c r="C13" s="35" t="inlineStr">
        <is>
          <t>Tient en verrou de sous-marque et en icône d'app carrée.</t>
        </is>
      </c>
    </row>
    <row r="14" ht="15" customHeight="1" s="28">
      <c r="A14" s="35" t="inlineStr">
        <is>
          <t>Intemporalité</t>
        </is>
      </c>
      <c r="B14" s="36" t="n">
        <v>15</v>
      </c>
      <c r="C14" s="35" t="inlineStr">
        <is>
          <t>Ne sera pas daté dans cinq ans.</t>
        </is>
      </c>
    </row>
    <row r="15" ht="15" customHeight="1" s="28">
      <c r="A15" s="37" t="inlineStr">
        <is>
          <t>TOTAL</t>
        </is>
      </c>
      <c r="B15" s="38">
        <f>SUM(B10:B14)</f>
        <v/>
      </c>
      <c r="C15" s="39" t="inlineStr">
        <is>
          <t>Doit être égal à 100.</t>
        </is>
      </c>
    </row>
    <row r="17" ht="15" customHeight="1" s="28">
      <c r="A17" s="33" t="inlineStr">
        <is>
          <t>SEUILS DE VALIDATION (absolus, non relatifs)</t>
        </is>
      </c>
    </row>
    <row r="18" ht="15" customHeight="1" s="28">
      <c r="A18" s="32" t="inlineStr">
        <is>
          <t>Score pondéré minimum (/100)</t>
        </is>
      </c>
      <c r="B18" s="36" t="n">
        <v>70</v>
      </c>
    </row>
    <row r="19" ht="15" customHeight="1" s="28">
      <c r="A19" s="32" t="inlineStr">
        <is>
          <t>Plancher par critère (/5)</t>
        </is>
      </c>
      <c r="B19" s="36" t="n">
        <v>3</v>
      </c>
    </row>
    <row r="20" ht="15" customHeight="1" s="28">
      <c r="A20" s="32" t="inlineStr">
        <is>
          <t>Filtres éliminatoires</t>
        </is>
      </c>
      <c r="B20" s="40" t="inlineStr">
        <is>
          <t>Tous = Oui</t>
        </is>
      </c>
    </row>
    <row r="22" ht="15" customHeight="1" s="28">
      <c r="A22" s="33" t="inlineStr">
        <is>
          <t>ÉCHELLE DE NOTATION (0–5, à appliquer à froid)</t>
        </is>
      </c>
    </row>
    <row r="23" ht="15" customHeight="1" s="28">
      <c r="A23" s="41" t="inlineStr">
        <is>
          <t>0</t>
        </is>
      </c>
      <c r="B23" s="32" t="inlineStr">
        <is>
          <t>Absent / le critère n'est pas rempli.</t>
        </is>
      </c>
    </row>
    <row r="24" ht="15" customHeight="1" s="28">
      <c r="A24" s="41" t="inlineStr">
        <is>
          <t>1–2</t>
        </is>
      </c>
      <c r="B24" s="32" t="inlineStr">
        <is>
          <t>Faible : présent mais fragile.</t>
        </is>
      </c>
    </row>
    <row r="25" ht="15" customHeight="1" s="28">
      <c r="A25" s="41" t="inlineStr">
        <is>
          <t>3</t>
        </is>
      </c>
      <c r="B25" s="32" t="inlineStr">
        <is>
          <t>Seuil acceptable (plancher).</t>
        </is>
      </c>
    </row>
    <row r="26" ht="15" customHeight="1" s="28">
      <c r="A26" s="41" t="inlineStr">
        <is>
          <t>4</t>
        </is>
      </c>
      <c r="B26" s="32" t="inlineStr">
        <is>
          <t>Solide.</t>
        </is>
      </c>
    </row>
    <row r="27" ht="15" customHeight="1" s="28">
      <c r="A27" s="41" t="inlineStr">
        <is>
          <t>5</t>
        </is>
      </c>
      <c r="B27" s="32" t="inlineStr">
        <is>
          <t>Exemplaire.</t>
        </is>
      </c>
    </row>
    <row r="29" ht="15" customHeight="1" s="28">
      <c r="A29" s="33" t="inlineStr">
        <is>
          <t>RÈGLE D'ARRÊT</t>
        </is>
      </c>
    </row>
    <row r="30" ht="15" customHeight="1" s="28">
      <c r="A30" s="32" t="inlineStr">
        <is>
          <t>Aucune direction n'est déclarée gagnante avant que toutes aient passé les filtres éliminatoires. Une direction est VALIDÉE seulement si : elle passe tous les filtres, atteint le score minimum, et n'a aucun critère sous le plancher. À égalité de score entre directions validées, la plus simple l'emporte (arbitrage manuel, assumé par écrit). L'attachement se note, mais ne vote pas.</t>
        </is>
      </c>
    </row>
    <row r="31" ht="15" customHeight="1" s="28"/>
  </sheetData>
  <mergeCells count="10">
    <mergeCell ref="B24:C24"/>
    <mergeCell ref="B25:C25"/>
    <mergeCell ref="A30:C31"/>
    <mergeCell ref="A8:C8"/>
    <mergeCell ref="A22:C22"/>
    <mergeCell ref="A17:C17"/>
    <mergeCell ref="B23:C23"/>
    <mergeCell ref="B26:C26"/>
    <mergeCell ref="B27:C27"/>
    <mergeCell ref="A29:C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27" min="1" max="1"/>
    <col width="15" customWidth="1" style="27" min="2" max="6"/>
  </cols>
  <sheetData>
    <row r="1" ht="19.7" customHeight="1" s="28">
      <c r="A1" s="29" t="inlineStr">
        <is>
          <t>FILTRES ÉLIMINATOIRES — tout ou rien</t>
        </is>
      </c>
    </row>
    <row r="2" ht="15" customHeight="1" s="28">
      <c r="A2" s="30" t="inlineStr">
        <is>
          <t>Réponds Oui / Non. Une seule case « Non » écarte la direction, quel que soit son charme.</t>
        </is>
      </c>
    </row>
    <row r="4" ht="23.85" customHeight="1" s="28">
      <c r="A4" s="34" t="inlineStr">
        <is>
          <t>Direction</t>
        </is>
      </c>
      <c r="B4" s="34" t="inlineStr">
        <is>
          <t>Lisible à 16 px
en 1 couleur</t>
        </is>
      </c>
      <c r="C4" s="34" t="inlineStr">
        <is>
          <t>Reproductible
navy + réservé</t>
        </is>
      </c>
      <c r="D4" s="34" t="inlineStr">
        <is>
          <t>Indépendant
du O</t>
        </is>
      </c>
      <c r="E4" s="34" t="inlineStr">
        <is>
          <t>Neutralité
culturelle</t>
        </is>
      </c>
      <c r="F4" s="34" t="inlineStr">
        <is>
          <t>VERDICT</t>
        </is>
      </c>
    </row>
    <row r="5" ht="15" customHeight="1" s="28">
      <c r="A5" s="42" t="inlineStr">
        <is>
          <t>A — Le A ouvert</t>
        </is>
      </c>
      <c r="B5" s="43" t="inlineStr">
        <is>
          <t>Oui</t>
        </is>
      </c>
      <c r="C5" s="43" t="inlineStr">
        <is>
          <t>Oui</t>
        </is>
      </c>
      <c r="D5" s="43" t="inlineStr">
        <is>
          <t>Oui</t>
        </is>
      </c>
      <c r="E5" s="43" t="inlineStr">
        <is>
          <t>Oui</t>
        </is>
      </c>
      <c r="F5" s="38">
        <f>IF(COUNTA(B5:E5)&lt;4,"À compléter",IF(COUNTIF(B5:E5,"Oui")=4,"ADMISE","ÉCARTÉE"))</f>
        <v/>
      </c>
    </row>
    <row r="6" ht="15" customHeight="1" s="28">
      <c r="A6" s="42" t="inlineStr">
        <is>
          <t>B — La brèche</t>
        </is>
      </c>
      <c r="B6" s="43" t="inlineStr">
        <is>
          <t>Oui</t>
        </is>
      </c>
      <c r="C6" s="43" t="inlineStr">
        <is>
          <t>Oui</t>
        </is>
      </c>
      <c r="D6" s="43" t="inlineStr">
        <is>
          <t>Oui</t>
        </is>
      </c>
      <c r="E6" s="43" t="inlineStr">
        <is>
          <t>Oui</t>
        </is>
      </c>
      <c r="F6" s="38">
        <f>IF(COUNTA(B6:E6)&lt;4,"À compléter",IF(COUNTIF(B6:E6,"Oui")=4,"ADMISE","ÉCARTÉE"))</f>
        <v/>
      </c>
    </row>
    <row r="7" ht="15" customHeight="1" s="28">
      <c r="A7" s="42" t="inlineStr">
        <is>
          <t>C — Le seuil</t>
        </is>
      </c>
      <c r="B7" s="43" t="inlineStr">
        <is>
          <t>Oui</t>
        </is>
      </c>
      <c r="C7" s="43" t="inlineStr">
        <is>
          <t>Oui</t>
        </is>
      </c>
      <c r="D7" s="43" t="inlineStr">
        <is>
          <t>Oui</t>
        </is>
      </c>
      <c r="E7" s="43" t="inlineStr">
        <is>
          <t>Oui</t>
        </is>
      </c>
      <c r="F7" s="38">
        <f>IF(COUNTA(B7:E7)&lt;4,"À compléter",IF(COUNTIF(B7:E7,"Oui")=4,"ADMISE","ÉCARTÉE"))</f>
        <v/>
      </c>
    </row>
    <row r="8" ht="15" customHeight="1" s="28">
      <c r="A8" s="42" t="inlineStr">
        <is>
          <t>D — Les deux E</t>
        </is>
      </c>
      <c r="B8" s="43" t="inlineStr">
        <is>
          <t>Oui</t>
        </is>
      </c>
      <c r="C8" s="43" t="inlineStr">
        <is>
          <t>Oui</t>
        </is>
      </c>
      <c r="D8" s="43" t="inlineStr">
        <is>
          <t>Oui</t>
        </is>
      </c>
      <c r="E8" s="43" t="inlineStr">
        <is>
          <t>Oui</t>
        </is>
      </c>
      <c r="F8" s="38">
        <f>IF(COUNTA(B8:E8)&lt;4,"À compléter",IF(COUNTIF(B8:E8,"Oui")=4,"ADMISE","ÉCARTÉE"))</f>
        <v/>
      </c>
    </row>
    <row r="9" ht="15" customHeight="1" s="28">
      <c r="A9" s="39" t="inlineStr">
        <is>
          <t>Exemple (à effacer)</t>
        </is>
      </c>
      <c r="B9" s="44" t="inlineStr">
        <is>
          <t>Oui</t>
        </is>
      </c>
      <c r="C9" s="44" t="inlineStr">
        <is>
          <t>Oui</t>
        </is>
      </c>
      <c r="D9" s="44" t="inlineStr">
        <is>
          <t>Oui</t>
        </is>
      </c>
      <c r="E9" s="44" t="inlineStr">
        <is>
          <t>Oui</t>
        </is>
      </c>
      <c r="F9" s="45">
        <f>IF(COUNTA(B9:E9)&lt;4,"À compléter",IF(COUNTIF(B9:E9,"Oui")=4,"ADMISE","ÉCARTÉE"))</f>
        <v/>
      </c>
    </row>
    <row r="11" ht="15" customHeight="1" s="28">
      <c r="A11" s="39" t="inlineStr">
        <is>
          <t>Légende : cases jaunes = à remplir (Oui/Non). Le verdict se calcule tout seul.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27" min="1" max="1"/>
    <col width="12" customWidth="1" style="27" min="2" max="6"/>
    <col width="13" customWidth="1" style="27" min="7" max="10"/>
    <col width="18" customWidth="1" style="27" min="11" max="11"/>
  </cols>
  <sheetData>
    <row r="1" ht="19.7" customHeight="1" s="28">
      <c r="A1" s="29" t="inlineStr">
        <is>
          <t>NOTATION PONDÉRÉE — à froid, après les filtres</t>
        </is>
      </c>
    </row>
    <row r="2" ht="15" customHeight="1" s="28">
      <c r="A2" s="30" t="inlineStr">
        <is>
          <t>Note chaque critère de 0 à 5 (cases jaunes). Le score, les contrôles et le verdict sont automatiques.</t>
        </is>
      </c>
    </row>
    <row r="4" ht="35.05" customHeight="1" s="28">
      <c r="A4" s="34" t="inlineStr">
        <is>
          <t>Direction</t>
        </is>
      </c>
      <c r="B4" s="34" t="inlineStr">
        <is>
          <t>Intégrité
soustractive</t>
        </is>
      </c>
      <c r="C4" s="34" t="inlineStr">
        <is>
          <t>Distinction</t>
        </is>
      </c>
      <c r="D4" s="34" t="inlineStr">
        <is>
          <t>Mémorabilité</t>
        </is>
      </c>
      <c r="E4" s="34" t="inlineStr">
        <is>
          <t>Extensibilité</t>
        </is>
      </c>
      <c r="F4" s="34" t="inlineStr">
        <is>
          <t>Intemporalité</t>
        </is>
      </c>
      <c r="G4" s="34" t="inlineStr">
        <is>
          <t>Score pondéré
/100</t>
        </is>
      </c>
      <c r="H4" s="34" t="inlineStr">
        <is>
          <t>Plancher
(aucun &lt; 3)</t>
        </is>
      </c>
      <c r="I4" s="34" t="inlineStr">
        <is>
          <t>Éliminatoires
OK ?</t>
        </is>
      </c>
      <c r="J4" s="34" t="inlineStr">
        <is>
          <t>VALIDÉE ?</t>
        </is>
      </c>
      <c r="K4" s="34" t="inlineStr">
        <is>
          <t>Attachement
(non décisionnel)</t>
        </is>
      </c>
    </row>
    <row r="5" ht="15" customHeight="1" s="28">
      <c r="A5" s="46" t="inlineStr">
        <is>
          <t>Poids (%) →</t>
        </is>
      </c>
      <c r="B5" s="47">
        <f>'Règles &amp; Poids'!B10</f>
        <v/>
      </c>
      <c r="C5" s="47">
        <f>'Règles &amp; Poids'!B11</f>
        <v/>
      </c>
      <c r="D5" s="47">
        <f>'Règles &amp; Poids'!B12</f>
        <v/>
      </c>
      <c r="E5" s="47">
        <f>'Règles &amp; Poids'!B13</f>
        <v/>
      </c>
      <c r="F5" s="47">
        <f>'Règles &amp; Poids'!B14</f>
        <v/>
      </c>
      <c r="G5" s="48" t="n"/>
      <c r="H5" s="48" t="n"/>
      <c r="I5" s="48" t="n"/>
      <c r="J5" s="48" t="n"/>
      <c r="K5" s="48" t="n"/>
    </row>
    <row r="6" ht="15" customHeight="1" s="28">
      <c r="A6" s="42" t="inlineStr">
        <is>
          <t>A — Le A ouvert</t>
        </is>
      </c>
      <c r="B6" s="43" t="n">
        <v>5</v>
      </c>
      <c r="C6" s="43" t="n">
        <v>3</v>
      </c>
      <c r="D6" s="43" t="n">
        <v>5</v>
      </c>
      <c r="E6" s="43" t="n">
        <v>5</v>
      </c>
      <c r="F6" s="43" t="n">
        <v>4</v>
      </c>
      <c r="G6" s="38">
        <f>SUMPRODUCT(B6:F6,$B$5:$F$5)/5</f>
        <v/>
      </c>
      <c r="H6" s="40">
        <f>IF(COUNTA(B6:F6)&lt;5,"—",IF(MIN(B6:F6)&gt;='Règles &amp; Poids'!$B$19,"Oui","Non"))</f>
        <v/>
      </c>
      <c r="I6" s="40">
        <f>IF('Filtres éliminatoires'!F5="ADMISE","Oui","Non")</f>
        <v/>
      </c>
      <c r="J6" s="38">
        <f>IF(AND(G6&gt;='Règles &amp; Poids'!$B$18,H6="Oui",I6="Oui"),"VALIDÉE","non")</f>
        <v/>
      </c>
      <c r="K6" s="49" t="n"/>
    </row>
    <row r="7" ht="15" customHeight="1" s="28">
      <c r="A7" s="42" t="inlineStr">
        <is>
          <t>B — La brèche</t>
        </is>
      </c>
      <c r="B7" s="43" t="n">
        <v>4</v>
      </c>
      <c r="C7" s="43" t="n">
        <v>2</v>
      </c>
      <c r="D7" s="43" t="n">
        <v>3</v>
      </c>
      <c r="E7" s="43" t="n">
        <v>4</v>
      </c>
      <c r="F7" s="43" t="n">
        <v>4</v>
      </c>
      <c r="G7" s="38">
        <f>SUMPRODUCT(B7:F7,$B$5:$F$5)/5</f>
        <v/>
      </c>
      <c r="H7" s="40">
        <f>IF(COUNTA(B7:F7)&lt;5,"—",IF(MIN(B7:F7)&gt;='Règles &amp; Poids'!$B$19,"Oui","Non"))</f>
        <v/>
      </c>
      <c r="I7" s="40">
        <f>IF('Filtres éliminatoires'!F6="ADMISE","Oui","Non")</f>
        <v/>
      </c>
      <c r="J7" s="38">
        <f>IF(AND(G7&gt;='Règles &amp; Poids'!$B$18,H7="Oui",I7="Oui"),"VALIDÉE","non")</f>
        <v/>
      </c>
      <c r="K7" s="49" t="n"/>
    </row>
    <row r="8" ht="15" customHeight="1" s="28">
      <c r="A8" s="42" t="inlineStr">
        <is>
          <t>C — Le seuil</t>
        </is>
      </c>
      <c r="B8" s="43" t="n">
        <v>3</v>
      </c>
      <c r="C8" s="43" t="n">
        <v>3</v>
      </c>
      <c r="D8" s="43" t="n">
        <v>4</v>
      </c>
      <c r="E8" s="43" t="n">
        <v>4</v>
      </c>
      <c r="F8" s="43" t="n">
        <v>4</v>
      </c>
      <c r="G8" s="38">
        <f>SUMPRODUCT(B8:F8,$B$5:$F$5)/5</f>
        <v/>
      </c>
      <c r="H8" s="40">
        <f>IF(COUNTA(B8:F8)&lt;5,"—",IF(MIN(B8:F8)&gt;='Règles &amp; Poids'!$B$19,"Oui","Non"))</f>
        <v/>
      </c>
      <c r="I8" s="40">
        <f>IF('Filtres éliminatoires'!F7="ADMISE","Oui","Non")</f>
        <v/>
      </c>
      <c r="J8" s="38">
        <f>IF(AND(G8&gt;='Règles &amp; Poids'!$B$18,H8="Oui",I8="Oui"),"VALIDÉE","non")</f>
        <v/>
      </c>
      <c r="K8" s="49" t="n"/>
    </row>
    <row r="9" ht="15" customHeight="1" s="28">
      <c r="A9" s="42" t="inlineStr">
        <is>
          <t>D — Les deux E</t>
        </is>
      </c>
      <c r="B9" s="43" t="n">
        <v>3</v>
      </c>
      <c r="C9" s="43" t="n">
        <v>3</v>
      </c>
      <c r="D9" s="43" t="n">
        <v>2</v>
      </c>
      <c r="E9" s="43" t="n">
        <v>2</v>
      </c>
      <c r="F9" s="43" t="n">
        <v>3</v>
      </c>
      <c r="G9" s="38">
        <f>SUMPRODUCT(B9:F9,$B$5:$F$5)/5</f>
        <v/>
      </c>
      <c r="H9" s="40">
        <f>IF(COUNTA(B9:F9)&lt;5,"—",IF(MIN(B9:F9)&gt;='Règles &amp; Poids'!$B$19,"Oui","Non"))</f>
        <v/>
      </c>
      <c r="I9" s="40">
        <f>IF('Filtres éliminatoires'!F8="ADMISE","Oui","Non")</f>
        <v/>
      </c>
      <c r="J9" s="38">
        <f>IF(AND(G9&gt;='Règles &amp; Poids'!$B$18,H9="Oui",I9="Oui"),"VALIDÉE","non")</f>
        <v/>
      </c>
      <c r="K9" s="49" t="n"/>
    </row>
    <row r="11" ht="15" customHeight="1" s="28">
      <c r="A11" s="39" t="inlineStr">
        <is>
          <t>Rappel : la colonne « Attachement » rend visible ce qu'on aime — elle n'entre dans aucun calcul.</t>
        </is>
      </c>
    </row>
    <row r="12">
      <c r="A12" s="50" t="inlineStr">
        <is>
          <t>Scores : proposition motivée de Claude (voir commentaires), à contester. Décision finale = Profi.</t>
        </is>
      </c>
    </row>
  </sheetData>
  <mergeCells count="2">
    <mergeCell ref="A11:K11"/>
    <mergeCell ref="A12:K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7" min="1" max="1"/>
    <col width="20" customWidth="1" style="27" min="2" max="2"/>
    <col width="22" customWidth="1" style="27" min="3" max="3"/>
  </cols>
  <sheetData>
    <row r="1" ht="19.7" customHeight="1" s="28">
      <c r="A1" s="29" t="inlineStr">
        <is>
          <t>VERDICT &amp; REGISTRE</t>
        </is>
      </c>
    </row>
    <row r="2" ht="15" customHeight="1" s="28">
      <c r="A2" s="30" t="inlineStr">
        <is>
          <t>Synthèse automatique. À égalité entre directions validées : la plus simple l'emporte (à trancher et à écrire ici).</t>
        </is>
      </c>
    </row>
    <row r="4" ht="15" customHeight="1" s="28">
      <c r="A4" s="34" t="inlineStr">
        <is>
          <t>Direction</t>
        </is>
      </c>
      <c r="B4" s="34" t="inlineStr">
        <is>
          <t>Score pondéré /100</t>
        </is>
      </c>
      <c r="C4" s="34" t="inlineStr">
        <is>
          <t>VALIDÉE ?</t>
        </is>
      </c>
    </row>
    <row r="5" ht="15" customHeight="1" s="28">
      <c r="A5" s="42" t="inlineStr">
        <is>
          <t>A — Le A ouvert</t>
        </is>
      </c>
      <c r="B5" s="40">
        <f>'Notation pondérée'!G6</f>
        <v/>
      </c>
      <c r="C5" s="38">
        <f>'Notation pondérée'!J6</f>
        <v/>
      </c>
    </row>
    <row r="6" ht="15" customHeight="1" s="28">
      <c r="A6" s="42" t="inlineStr">
        <is>
          <t>B — La brèche</t>
        </is>
      </c>
      <c r="B6" s="40">
        <f>'Notation pondérée'!G7</f>
        <v/>
      </c>
      <c r="C6" s="38">
        <f>'Notation pondérée'!J7</f>
        <v/>
      </c>
    </row>
    <row r="7" ht="15" customHeight="1" s="28">
      <c r="A7" s="42" t="inlineStr">
        <is>
          <t>C — Le seuil</t>
        </is>
      </c>
      <c r="B7" s="40">
        <f>'Notation pondérée'!G8</f>
        <v/>
      </c>
      <c r="C7" s="38">
        <f>'Notation pondérée'!J8</f>
        <v/>
      </c>
    </row>
    <row r="8" ht="15" customHeight="1" s="28">
      <c r="A8" s="42" t="inlineStr">
        <is>
          <t>D — Les deux E</t>
        </is>
      </c>
      <c r="B8" s="40">
        <f>'Notation pondérée'!G9</f>
        <v/>
      </c>
      <c r="C8" s="38">
        <f>'Notation pondérée'!J9</f>
        <v/>
      </c>
    </row>
    <row r="10" ht="15" customHeight="1" s="28">
      <c r="A10" s="51" t="inlineStr">
        <is>
          <t>Décision finale :</t>
        </is>
      </c>
      <c r="B10" s="52" t="n"/>
    </row>
    <row r="11" ht="15" customHeight="1" s="28">
      <c r="A11" s="51" t="inlineStr">
        <is>
          <t>Justification (par écrit) :</t>
        </is>
      </c>
      <c r="B11" s="53" t="n"/>
      <c r="C11" s="54" t="n"/>
    </row>
    <row r="12" ht="15" customHeight="1" s="28">
      <c r="B12" s="55" t="n"/>
    </row>
  </sheetData>
  <mergeCells count="1">
    <mergeCell ref="B11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2026-07-29T13:39:16Z</dcterms:created>
  <dcterms:modified xmlns:dcterms="http://purl.org/dc/terms/" xmlns:xsi="http://www.w3.org/2001/XMLSchema-instance" xsi:type="dcterms:W3CDTF">2026-07-29T13:45:58Z</dcterms:modified>
  <cp:revision>0</cp:revision>
</cp:coreProperties>
</file>