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ègles &amp; Poids" sheetId="1" state="visible" r:id="rId3"/>
    <sheet name="Filtres éliminatoires" sheetId="2" state="visible" r:id="rId4"/>
    <sheet name="Notation pondérée" sheetId="3" state="visible" r:id="rId5"/>
    <sheet name="Verdict &amp; Regist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<sst xmlns="http://schemas.openxmlformats.org/spreadsheetml/2006/main" count="102" uniqueCount="73">
  <si>
    <t xml:space="preserve">K E B R A N E — Grille de décision  ·  Logo</t>
  </si>
  <si>
    <t xml:space="preserve">Instrument verrouillé avant notation. On fixe les poids d'abord ; on score à froid ensuite.</t>
  </si>
  <si>
    <t xml:space="preserve">Date de verrouillage des poids :</t>
  </si>
  <si>
    <t xml:space="preserve">2026-07-29</t>
  </si>
  <si>
    <t xml:space="preserve">Responsable de la décision :</t>
  </si>
  <si>
    <t xml:space="preserve">Profi</t>
  </si>
  <si>
    <t xml:space="preserve">Principe directeur :</t>
  </si>
  <si>
    <t xml:space="preserve">Le sens naît du retrait. La barrière retirée est le dessin.</t>
  </si>
  <si>
    <t xml:space="preserve">POIDS DES CRITÈRES — verrouillés AVANT toute notation</t>
  </si>
  <si>
    <t xml:space="preserve">Critère</t>
  </si>
  <si>
    <t xml:space="preserve">Poids (%)</t>
  </si>
  <si>
    <t xml:space="preserve">Ce que ça mesure</t>
  </si>
  <si>
    <t xml:space="preserve">Intégrité soustractive</t>
  </si>
  <si>
    <t xml:space="preserve">Le sens naît-il vraiment d'un retrait, pas d'un ajout ?</t>
  </si>
  <si>
    <t xml:space="preserve">Distinction</t>
  </si>
  <si>
    <t xml:space="preserve">Ne ressemble à rien de connu ; pas de confusion avec une icône générique.</t>
  </si>
  <si>
    <t xml:space="preserve">Mémorabilité</t>
  </si>
  <si>
    <t xml:space="preserve">Reconstructible de mémoire par un inconnu.</t>
  </si>
  <si>
    <t xml:space="preserve">Extensibilité</t>
  </si>
  <si>
    <t xml:space="preserve">Tient en verrou de sous-marque et en icône d'app carrée.</t>
  </si>
  <si>
    <t xml:space="preserve">Intemporalité</t>
  </si>
  <si>
    <t xml:space="preserve">Ne sera pas daté dans cinq ans.</t>
  </si>
  <si>
    <t xml:space="preserve">TOTAL</t>
  </si>
  <si>
    <t xml:space="preserve">Doit être égal à 100.</t>
  </si>
  <si>
    <t xml:space="preserve">SEUILS DE VALIDATION (absolus, non relatifs)</t>
  </si>
  <si>
    <t xml:space="preserve">Score pondéré minimum (/100)</t>
  </si>
  <si>
    <t xml:space="preserve">Plancher par critère (/5)</t>
  </si>
  <si>
    <t xml:space="preserve">Filtres éliminatoires</t>
  </si>
  <si>
    <t xml:space="preserve">Tous = Oui</t>
  </si>
  <si>
    <t xml:space="preserve">ÉCHELLE DE NOTATION (0–5, à appliquer à froid)</t>
  </si>
  <si>
    <t xml:space="preserve">0</t>
  </si>
  <si>
    <t xml:space="preserve">Absent / le critère n'est pas rempli.</t>
  </si>
  <si>
    <t xml:space="preserve">1–2</t>
  </si>
  <si>
    <t xml:space="preserve">Faible : présent mais fragile.</t>
  </si>
  <si>
    <t xml:space="preserve">3</t>
  </si>
  <si>
    <t xml:space="preserve">Seuil acceptable (plancher).</t>
  </si>
  <si>
    <t xml:space="preserve">4</t>
  </si>
  <si>
    <t xml:space="preserve">Solide.</t>
  </si>
  <si>
    <t xml:space="preserve">5</t>
  </si>
  <si>
    <t xml:space="preserve">Exemplaire.</t>
  </si>
  <si>
    <t xml:space="preserve">RÈGLE D'ARRÊT</t>
  </si>
  <si>
    <t xml:space="preserve">Aucune direction n'est déclarée gagnante avant que toutes aient passé les filtres éliminatoires. Une direction est VALIDÉE seulement si : elle passe tous les filtres, atteint le score minimum, et n'a aucun critère sous le plancher. À égalité de score entre directions validées, la plus simple l'emporte (arbitrage manuel, assumé par écrit). L'attachement se note, mais ne vote pas.</t>
  </si>
  <si>
    <t xml:space="preserve">FILTRES ÉLIMINATOIRES — tout ou rien</t>
  </si>
  <si>
    <t xml:space="preserve">Réponds Oui / Non. Une seule case « Non » écarte la direction, quel que soit son charme.</t>
  </si>
  <si>
    <t xml:space="preserve">Direction</t>
  </si>
  <si>
    <t xml:space="preserve">Lisible à 16 px
en 1 couleur</t>
  </si>
  <si>
    <t xml:space="preserve">Reproductible
navy + réservé</t>
  </si>
  <si>
    <t xml:space="preserve">Indépendant
du O</t>
  </si>
  <si>
    <t xml:space="preserve">Neutralité
culturelle</t>
  </si>
  <si>
    <t xml:space="preserve">VERDICT</t>
  </si>
  <si>
    <t xml:space="preserve">A — Le A ouvert</t>
  </si>
  <si>
    <t xml:space="preserve">Oui</t>
  </si>
  <si>
    <t xml:space="preserve">B — La brèche</t>
  </si>
  <si>
    <t xml:space="preserve">Non</t>
  </si>
  <si>
    <t xml:space="preserve">C — Le seuil</t>
  </si>
  <si>
    <t xml:space="preserve">D — Les deux E</t>
  </si>
  <si>
    <t xml:space="preserve">Exemple (à effacer)</t>
  </si>
  <si>
    <t xml:space="preserve">Légende : cases jaunes = à remplir (Oui/Non). Le verdict se calcule tout seul.</t>
  </si>
  <si>
    <t xml:space="preserve">NOTATION PONDÉRÉE — à froid, après les filtres</t>
  </si>
  <si>
    <t xml:space="preserve">Note chaque critère de 0 à 5 (cases jaunes). Le score, les contrôles et le verdict sont automatiques.</t>
  </si>
  <si>
    <t xml:space="preserve">Intégrité
soustractive</t>
  </si>
  <si>
    <t xml:space="preserve">Score pondéré
/100</t>
  </si>
  <si>
    <t xml:space="preserve">Plancher
(aucun &lt; 3)</t>
  </si>
  <si>
    <t xml:space="preserve">Éliminatoires
OK ?</t>
  </si>
  <si>
    <t xml:space="preserve">VALIDÉE ?</t>
  </si>
  <si>
    <t xml:space="preserve">Attachement
(non décisionnel)</t>
  </si>
  <si>
    <t xml:space="preserve">Poids (%) →</t>
  </si>
  <si>
    <t xml:space="preserve">Rappel : la colonne « Attachement » rend visible ce qu'on aime — elle n'entre dans aucun calcul.</t>
  </si>
  <si>
    <t xml:space="preserve">VERDICT &amp; REGISTRE</t>
  </si>
  <si>
    <t xml:space="preserve">Synthèse automatique. À égalité entre directions validées : la plus simple l'emporte (à trancher et à écrire ici).</t>
  </si>
  <si>
    <t xml:space="preserve">Score pondéré /100</t>
  </si>
  <si>
    <t xml:space="preserve">Décision finale :</t>
  </si>
  <si>
    <t xml:space="preserve">Justification (par écrit) :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</si>
</sst>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352"/>
      <name val="Georgia"/>
      <family val="0"/>
      <charset val="1"/>
    </font>
    <font>
      <i val="true"/>
      <sz val="11"/>
      <color rgb="FF666666"/>
      <name val="Georgia"/>
      <family val="0"/>
      <charset val="1"/>
    </font>
    <font>
      <b val="true"/>
      <sz val="11"/>
      <color rgb="FF1F3352"/>
      <name val="Calibri"/>
      <family val="0"/>
      <charset val="1"/>
    </font>
    <font>
      <sz val="11"/>
      <color rgb="FF1A1A1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i val="true"/>
      <sz val="10"/>
      <color rgb="FF66666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A5322C"/>
        <bgColor rgb="FF993366"/>
      </patternFill>
    </fill>
    <fill>
      <patternFill patternType="solid">
        <fgColor rgb="FF1F3352"/>
        <bgColor rgb="FF003366"/>
      </patternFill>
    </fill>
    <fill>
      <patternFill patternType="solid">
        <fgColor rgb="FFFFF6D6"/>
        <bgColor rgb="FFF1EFEA"/>
      </patternFill>
    </fill>
    <fill>
      <patternFill patternType="solid">
        <fgColor rgb="FFF1EFEA"/>
        <bgColor rgb="FFFFF6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5CE"/>
      </left>
      <right style="thin">
        <color rgb="FFD9D5CE"/>
      </right>
      <top style="thin">
        <color rgb="FFD9D5CE"/>
      </top>
      <bottom style="thin">
        <color rgb="FFD9D5CE"/>
      </bottom>
      <diagonal/>
    </border>
    <border diagonalUp="false" diagonalDown="false">
      <left style="thin">
        <color rgb="FFD9D5CE"/>
      </left>
      <right/>
      <top style="thin">
        <color rgb="FFD9D5C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F1EFEA"/>
      <rgbColor rgb="FF660066"/>
      <rgbColor rgb="FFFF8080"/>
      <rgbColor rgb="FF0066CC"/>
      <rgbColor rgb="FFD9D5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A"/>
      <rgbColor rgb="FFA5322C"/>
      <rgbColor rgb="FF993366"/>
      <rgbColor rgb="FF333399"/>
      <rgbColor rgb="FF1F33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5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45.75" hidden="false" customHeight="true" outlineLevel="0" collapsed="false">
      <c r="A6" s="4" t="s">
        <v>6</v>
      </c>
      <c r="B6" s="5" t="s">
        <v>7</v>
      </c>
    </row>
    <row r="8" customFormat="false" ht="15" hidden="false" customHeight="true" outlineLevel="0" collapsed="false">
      <c r="A8" s="6" t="s">
        <v>8</v>
      </c>
      <c r="B8" s="6"/>
      <c r="C8" s="6"/>
    </row>
    <row r="9" customFormat="false" ht="15" hidden="false" customHeight="true" outlineLevel="0" collapsed="false">
      <c r="A9" s="7" t="s">
        <v>9</v>
      </c>
      <c r="B9" s="7" t="s">
        <v>10</v>
      </c>
      <c r="C9" s="7" t="s">
        <v>11</v>
      </c>
    </row>
    <row r="10" customFormat="false" ht="15" hidden="false" customHeight="true" outlineLevel="0" collapsed="false">
      <c r="A10" s="8" t="s">
        <v>12</v>
      </c>
      <c r="B10" s="9" t="n">
        <v>25</v>
      </c>
      <c r="C10" s="8" t="s">
        <v>13</v>
      </c>
    </row>
    <row r="11" customFormat="false" ht="23.25" hidden="false" customHeight="true" outlineLevel="0" collapsed="false">
      <c r="A11" s="8" t="s">
        <v>14</v>
      </c>
      <c r="B11" s="9" t="n">
        <v>20</v>
      </c>
      <c r="C11" s="8" t="s">
        <v>15</v>
      </c>
    </row>
    <row r="12" customFormat="false" ht="15" hidden="false" customHeight="true" outlineLevel="0" collapsed="false">
      <c r="A12" s="8" t="s">
        <v>16</v>
      </c>
      <c r="B12" s="9" t="n">
        <v>20</v>
      </c>
      <c r="C12" s="8" t="s">
        <v>17</v>
      </c>
    </row>
    <row r="13" customFormat="false" ht="15" hidden="false" customHeight="true" outlineLevel="0" collapsed="false">
      <c r="A13" s="8" t="s">
        <v>18</v>
      </c>
      <c r="B13" s="9" t="n">
        <v>20</v>
      </c>
      <c r="C13" s="8" t="s">
        <v>19</v>
      </c>
    </row>
    <row r="14" customFormat="false" ht="15" hidden="false" customHeight="true" outlineLevel="0" collapsed="false">
      <c r="A14" s="8" t="s">
        <v>20</v>
      </c>
      <c r="B14" s="9" t="n">
        <v>15</v>
      </c>
      <c r="C14" s="8" t="s">
        <v>21</v>
      </c>
    </row>
    <row r="15" customFormat="false" ht="15" hidden="false" customHeight="true" outlineLevel="0" collapsed="false">
      <c r="A15" s="10" t="s">
        <v>22</v>
      </c>
      <c r="B15" s="11" t="n">
        <f aca="false">SUM(B10:B14)</f>
        <v>100</v>
      </c>
      <c r="C15" s="12" t="s">
        <v>23</v>
      </c>
    </row>
    <row r="17" customFormat="false" ht="15" hidden="false" customHeight="true" outlineLevel="0" collapsed="false">
      <c r="A17" s="6" t="s">
        <v>24</v>
      </c>
      <c r="B17" s="6"/>
      <c r="C17" s="6"/>
    </row>
    <row r="18" customFormat="false" ht="15" hidden="false" customHeight="true" outlineLevel="0" collapsed="false">
      <c r="A18" s="5" t="s">
        <v>25</v>
      </c>
      <c r="B18" s="9" t="n">
        <v>70</v>
      </c>
    </row>
    <row r="19" customFormat="false" ht="15" hidden="false" customHeight="true" outlineLevel="0" collapsed="false">
      <c r="A19" s="5" t="s">
        <v>26</v>
      </c>
      <c r="B19" s="9" t="n">
        <v>3</v>
      </c>
    </row>
    <row r="20" customFormat="false" ht="15" hidden="false" customHeight="true" outlineLevel="0" collapsed="false">
      <c r="A20" s="5" t="s">
        <v>27</v>
      </c>
      <c r="B20" s="13" t="s">
        <v>28</v>
      </c>
    </row>
    <row r="22" customFormat="false" ht="15" hidden="false" customHeight="true" outlineLevel="0" collapsed="false">
      <c r="A22" s="6" t="s">
        <v>29</v>
      </c>
      <c r="B22" s="6"/>
      <c r="C22" s="6"/>
    </row>
    <row r="23" customFormat="false" ht="15" hidden="false" customHeight="true" outlineLevel="0" collapsed="false">
      <c r="A23" s="14" t="s">
        <v>30</v>
      </c>
      <c r="B23" s="15" t="s">
        <v>31</v>
      </c>
      <c r="C23" s="15"/>
    </row>
    <row r="24" customFormat="false" ht="15" hidden="false" customHeight="true" outlineLevel="0" collapsed="false">
      <c r="A24" s="14" t="s">
        <v>32</v>
      </c>
      <c r="B24" s="15" t="s">
        <v>33</v>
      </c>
      <c r="C24" s="15"/>
    </row>
    <row r="25" customFormat="false" ht="15" hidden="false" customHeight="true" outlineLevel="0" collapsed="false">
      <c r="A25" s="14" t="s">
        <v>34</v>
      </c>
      <c r="B25" s="15" t="s">
        <v>35</v>
      </c>
      <c r="C25" s="15"/>
    </row>
    <row r="26" customFormat="false" ht="15" hidden="false" customHeight="true" outlineLevel="0" collapsed="false">
      <c r="A26" s="14" t="s">
        <v>36</v>
      </c>
      <c r="B26" s="15" t="s">
        <v>37</v>
      </c>
      <c r="C26" s="15"/>
    </row>
    <row r="27" customFormat="false" ht="15" hidden="false" customHeight="true" outlineLevel="0" collapsed="false">
      <c r="A27" s="14" t="s">
        <v>38</v>
      </c>
      <c r="B27" s="15" t="s">
        <v>39</v>
      </c>
      <c r="C27" s="15"/>
    </row>
    <row r="29" customFormat="false" ht="15" hidden="false" customHeight="true" outlineLevel="0" collapsed="false">
      <c r="A29" s="6" t="s">
        <v>40</v>
      </c>
      <c r="B29" s="6"/>
      <c r="C29" s="6"/>
    </row>
    <row r="30" customFormat="false" ht="15" hidden="false" customHeight="true" outlineLevel="0" collapsed="false">
      <c r="A30" s="15" t="s">
        <v>41</v>
      </c>
      <c r="B30" s="15"/>
      <c r="C30" s="15"/>
    </row>
    <row r="31" customFormat="false" ht="15" hidden="false" customHeight="true" outlineLevel="0" collapsed="false">
      <c r="A31" s="15"/>
      <c r="B31" s="15"/>
      <c r="C31" s="15"/>
    </row>
  </sheetData>
  <mergeCells count="10">
    <mergeCell ref="A8:C8"/>
    <mergeCell ref="A17:C17"/>
    <mergeCell ref="A22:C22"/>
    <mergeCell ref="B23:C23"/>
    <mergeCell ref="B24:C24"/>
    <mergeCell ref="B25:C25"/>
    <mergeCell ref="B26:C26"/>
    <mergeCell ref="B27:C27"/>
    <mergeCell ref="A29:C29"/>
    <mergeCell ref="A30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5"/>
  </cols>
  <sheetData>
    <row r="1" customFormat="false" ht="19.5" hidden="false" customHeight="true" outlineLevel="0" collapsed="false">
      <c r="A1" s="2" t="s">
        <v>42</v>
      </c>
    </row>
    <row r="2" customFormat="false" ht="15" hidden="false" customHeight="true" outlineLevel="0" collapsed="false">
      <c r="A2" s="3" t="s">
        <v>43</v>
      </c>
    </row>
    <row r="4" customFormat="false" ht="23.25" hidden="false" customHeight="true" outlineLevel="0" collapsed="false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</row>
    <row r="5" customFormat="false" ht="15" hidden="false" customHeight="true" outlineLevel="0" collapsed="false">
      <c r="A5" s="16" t="s">
        <v>50</v>
      </c>
      <c r="B5" s="17" t="s">
        <v>51</v>
      </c>
      <c r="C5" s="17" t="s">
        <v>51</v>
      </c>
      <c r="D5" s="17" t="s">
        <v>51</v>
      </c>
      <c r="E5" s="17" t="s">
        <v>51</v>
      </c>
      <c r="F5" s="11" t="str">
        <f aca="false">IF(COUNTA(B5:E5)&lt;4,"À compléter",IF(COUNTIF(B5:E5,"Oui")=4,"ADMISE","ÉCARTÉE"))</f>
        <v>ADMISE</v>
      </c>
    </row>
    <row r="6" customFormat="false" ht="15" hidden="false" customHeight="true" outlineLevel="0" collapsed="false">
      <c r="A6" s="16" t="s">
        <v>52</v>
      </c>
      <c r="B6" s="17" t="s">
        <v>53</v>
      </c>
      <c r="C6" s="17" t="s">
        <v>51</v>
      </c>
      <c r="D6" s="17" t="s">
        <v>51</v>
      </c>
      <c r="E6" s="17" t="s">
        <v>51</v>
      </c>
      <c r="F6" s="11" t="str">
        <f aca="false">IF(COUNTA(B6:E6)&lt;4,"À compléter",IF(COUNTIF(B6:E6,"Oui")=4,"ADMISE","ÉCARTÉE"))</f>
        <v>ÉCARTÉE</v>
      </c>
    </row>
    <row r="7" customFormat="false" ht="15" hidden="false" customHeight="true" outlineLevel="0" collapsed="false">
      <c r="A7" s="16" t="s">
        <v>54</v>
      </c>
      <c r="B7" s="17" t="s">
        <v>51</v>
      </c>
      <c r="C7" s="17" t="s">
        <v>51</v>
      </c>
      <c r="D7" s="17" t="s">
        <v>51</v>
      </c>
      <c r="E7" s="17" t="s">
        <v>51</v>
      </c>
      <c r="F7" s="11" t="str">
        <f aca="false">IF(COUNTA(B7:E7)&lt;4,"À compléter",IF(COUNTIF(B7:E7,"Oui")=4,"ADMISE","ÉCARTÉE"))</f>
        <v>ADMISE</v>
      </c>
    </row>
    <row r="8" customFormat="false" ht="15" hidden="false" customHeight="true" outlineLevel="0" collapsed="false">
      <c r="A8" s="16" t="s">
        <v>55</v>
      </c>
      <c r="B8" s="17"/>
      <c r="C8" s="17"/>
      <c r="D8" s="17"/>
      <c r="E8" s="17"/>
      <c r="F8" s="11" t="str">
        <f aca="false">IF(COUNTA(B8:E8)&lt;4,"À compléter",IF(COUNTIF(B8:E8,"Oui")=4,"ADMISE","ÉCARTÉE"))</f>
        <v>À compléter</v>
      </c>
    </row>
    <row r="9" customFormat="false" ht="15" hidden="false" customHeight="true" outlineLevel="0" collapsed="false">
      <c r="A9" s="12" t="s">
        <v>56</v>
      </c>
      <c r="B9" s="18" t="s">
        <v>51</v>
      </c>
      <c r="C9" s="18" t="s">
        <v>51</v>
      </c>
      <c r="D9" s="18" t="s">
        <v>51</v>
      </c>
      <c r="E9" s="18" t="s">
        <v>51</v>
      </c>
      <c r="F9" s="19" t="str">
        <f aca="false">IF(COUNTA(B9:E9)&lt;4,"À compléter",IF(COUNTIF(B9:E9,"Oui")=4,"ADMISE","ÉCARTÉE"))</f>
        <v>ADMISE</v>
      </c>
    </row>
    <row r="11" customFormat="false" ht="15" hidden="false" customHeight="true" outlineLevel="0" collapsed="false">
      <c r="A11" s="1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2"/>
    <col collapsed="false" customWidth="true" hidden="false" outlineLevel="0" max="10" min="7" style="1" width="13"/>
    <col collapsed="false" customWidth="true" hidden="false" outlineLevel="0" max="11" min="11" style="1" width="18"/>
  </cols>
  <sheetData>
    <row r="1" customFormat="false" ht="19.5" hidden="false" customHeight="true" outlineLevel="0" collapsed="false">
      <c r="A1" s="2" t="s">
        <v>58</v>
      </c>
    </row>
    <row r="2" customFormat="false" ht="15" hidden="false" customHeight="true" outlineLevel="0" collapsed="false">
      <c r="A2" s="3" t="s">
        <v>59</v>
      </c>
    </row>
    <row r="4" customFormat="false" ht="34.5" hidden="false" customHeight="true" outlineLevel="0" collapsed="false">
      <c r="A4" s="7" t="s">
        <v>44</v>
      </c>
      <c r="B4" s="7" t="s">
        <v>60</v>
      </c>
      <c r="C4" s="7" t="s">
        <v>14</v>
      </c>
      <c r="D4" s="7" t="s">
        <v>16</v>
      </c>
      <c r="E4" s="7" t="s">
        <v>18</v>
      </c>
      <c r="F4" s="7" t="s">
        <v>20</v>
      </c>
      <c r="G4" s="7" t="s">
        <v>61</v>
      </c>
      <c r="H4" s="7" t="s">
        <v>62</v>
      </c>
      <c r="I4" s="7" t="s">
        <v>63</v>
      </c>
      <c r="J4" s="7" t="s">
        <v>64</v>
      </c>
      <c r="K4" s="7" t="s">
        <v>65</v>
      </c>
    </row>
    <row r="5" customFormat="false" ht="15" hidden="false" customHeight="true" outlineLevel="0" collapsed="false">
      <c r="A5" s="20" t="s">
        <v>66</v>
      </c>
      <c r="B5" s="21" t="n">
        <f aca="false">'Règles &amp; Poids'!B10</f>
        <v>25</v>
      </c>
      <c r="C5" s="21" t="n">
        <f aca="false">'Règles &amp; Poids'!B11</f>
        <v>20</v>
      </c>
      <c r="D5" s="21" t="n">
        <f aca="false">'Règles &amp; Poids'!B12</f>
        <v>20</v>
      </c>
      <c r="E5" s="21" t="n">
        <f aca="false">'Règles &amp; Poids'!B13</f>
        <v>20</v>
      </c>
      <c r="F5" s="21" t="n">
        <f aca="false">'Règles &amp; Poids'!B14</f>
        <v>15</v>
      </c>
      <c r="G5" s="22"/>
      <c r="H5" s="22"/>
      <c r="I5" s="22"/>
      <c r="J5" s="22"/>
      <c r="K5" s="22"/>
    </row>
    <row r="6" customFormat="false" ht="15" hidden="false" customHeight="true" outlineLevel="0" collapsed="false">
      <c r="A6" s="16" t="s">
        <v>50</v>
      </c>
      <c r="B6" s="17" t="n">
        <v>5</v>
      </c>
      <c r="C6" s="17" t="n">
        <v>4</v>
      </c>
      <c r="D6" s="17" t="n">
        <v>4</v>
      </c>
      <c r="E6" s="17" t="n">
        <v>4</v>
      </c>
      <c r="F6" s="17" t="n">
        <v>4</v>
      </c>
      <c r="G6" s="11" t="n">
        <f aca="false">SUMPRODUCT(B6:F6,$B$5:$F$5)/5</f>
        <v>85</v>
      </c>
      <c r="H6" s="13" t="str">
        <f aca="false">IF(COUNTA(B6:F6)&lt;5,"—",IF(MIN(B6:F6)&gt;='Règles &amp; Poids'!$B$19,"Oui","Non"))</f>
        <v>Oui</v>
      </c>
      <c r="I6" s="13" t="str">
        <f aca="false">IF('Filtres éliminatoires'!F5="ADMISE","Oui","Non")</f>
        <v>Oui</v>
      </c>
      <c r="J6" s="11" t="str">
        <f aca="false">IF(AND(G6&gt;='Règles &amp; Poids'!$B$18,H6="Oui",I6="Oui"),"VALIDÉE","non")</f>
        <v>VALIDÉE</v>
      </c>
      <c r="K6" s="23"/>
    </row>
    <row r="7" customFormat="false" ht="15" hidden="false" customHeight="true" outlineLevel="0" collapsed="false">
      <c r="A7" s="16" t="s">
        <v>52</v>
      </c>
      <c r="B7" s="17" t="n">
        <v>3</v>
      </c>
      <c r="C7" s="17" t="n">
        <v>3</v>
      </c>
      <c r="D7" s="17" t="n">
        <v>3</v>
      </c>
      <c r="E7" s="17" t="n">
        <v>3</v>
      </c>
      <c r="F7" s="17" t="n">
        <v>3</v>
      </c>
      <c r="G7" s="11" t="n">
        <f aca="false">SUMPRODUCT(B7:F7,$B$5:$F$5)/5</f>
        <v>60</v>
      </c>
      <c r="H7" s="13" t="str">
        <f aca="false">IF(COUNTA(B7:F7)&lt;5,"—",IF(MIN(B7:F7)&gt;='Règles &amp; Poids'!$B$19,"Oui","Non"))</f>
        <v>Oui</v>
      </c>
      <c r="I7" s="13" t="str">
        <f aca="false">IF('Filtres éliminatoires'!F6="ADMISE","Oui","Non")</f>
        <v>Non</v>
      </c>
      <c r="J7" s="11" t="str">
        <f aca="false">IF(AND(G7&gt;='Règles &amp; Poids'!$B$18,H7="Oui",I7="Oui"),"VALIDÉE","non")</f>
        <v>non</v>
      </c>
      <c r="K7" s="23"/>
    </row>
    <row r="8" customFormat="false" ht="15" hidden="false" customHeight="true" outlineLevel="0" collapsed="false">
      <c r="A8" s="16" t="s">
        <v>54</v>
      </c>
      <c r="B8" s="17" t="n">
        <v>4</v>
      </c>
      <c r="C8" s="17" t="n">
        <v>5</v>
      </c>
      <c r="D8" s="17" t="n">
        <v>5</v>
      </c>
      <c r="E8" s="17" t="n">
        <v>4</v>
      </c>
      <c r="F8" s="17" t="n">
        <v>4</v>
      </c>
      <c r="G8" s="11" t="n">
        <f aca="false">SUMPRODUCT(B8:F8,$B$5:$F$5)/5</f>
        <v>88</v>
      </c>
      <c r="H8" s="13" t="str">
        <f aca="false">IF(COUNTA(B8:F8)&lt;5,"—",IF(MIN(B8:F8)&gt;='Règles &amp; Poids'!$B$19,"Oui","Non"))</f>
        <v>Oui</v>
      </c>
      <c r="I8" s="13" t="str">
        <f aca="false">IF('Filtres éliminatoires'!F7="ADMISE","Oui","Non")</f>
        <v>Oui</v>
      </c>
      <c r="J8" s="11" t="str">
        <f aca="false">IF(AND(G8&gt;='Règles &amp; Poids'!$B$18,H8="Oui",I8="Oui"),"VALIDÉE","non")</f>
        <v>VALIDÉE</v>
      </c>
      <c r="K8" s="23"/>
    </row>
    <row r="9" customFormat="false" ht="15" hidden="false" customHeight="true" outlineLevel="0" collapsed="false">
      <c r="A9" s="16" t="s">
        <v>55</v>
      </c>
      <c r="B9" s="17"/>
      <c r="C9" s="17"/>
      <c r="D9" s="17"/>
      <c r="E9" s="17"/>
      <c r="F9" s="17"/>
      <c r="G9" s="11" t="n">
        <f aca="false">SUMPRODUCT(B9:F9,$B$5:$F$5)/5</f>
        <v>0</v>
      </c>
      <c r="H9" s="13" t="str">
        <f aca="false">IF(COUNTA(B9:F9)&lt;5,"—",IF(MIN(B9:F9)&gt;='Règles &amp; Poids'!$B$19,"Oui","Non"))</f>
        <v>—</v>
      </c>
      <c r="I9" s="13" t="str">
        <f aca="false">IF('Filtres éliminatoires'!F8="ADMISE","Oui","Non")</f>
        <v>Non</v>
      </c>
      <c r="J9" s="11" t="str">
        <f aca="false">IF(AND(G9&gt;='Règles &amp; Poids'!$B$18,H9="Oui",I9="Oui"),"VALIDÉE","non")</f>
        <v>non</v>
      </c>
      <c r="K9" s="23"/>
    </row>
    <row r="11" customFormat="false" ht="15" hidden="false" customHeight="true" outlineLevel="0" collapsed="false">
      <c r="A11" s="24" t="s">
        <v>67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</sheetData>
  <mergeCells count="1"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22"/>
  </cols>
  <sheetData>
    <row r="1" customFormat="false" ht="19.5" hidden="false" customHeight="true" outlineLevel="0" collapsed="false">
      <c r="A1" s="2" t="s">
        <v>68</v>
      </c>
    </row>
    <row r="2" customFormat="false" ht="15" hidden="false" customHeight="true" outlineLevel="0" collapsed="false">
      <c r="A2" s="3" t="s">
        <v>69</v>
      </c>
    </row>
    <row r="4" customFormat="false" ht="15" hidden="false" customHeight="true" outlineLevel="0" collapsed="false">
      <c r="A4" s="7" t="s">
        <v>44</v>
      </c>
      <c r="B4" s="7" t="s">
        <v>70</v>
      </c>
      <c r="C4" s="7" t="s">
        <v>64</v>
      </c>
    </row>
    <row r="5" customFormat="false" ht="15" hidden="false" customHeight="true" outlineLevel="0" collapsed="false">
      <c r="A5" s="16" t="s">
        <v>50</v>
      </c>
      <c r="B5" s="13" t="n">
        <f aca="false">'Notation pondérée'!G6</f>
        <v>85</v>
      </c>
      <c r="C5" s="11" t="str">
        <f aca="false">'Notation pondérée'!J6</f>
        <v>VALIDÉE</v>
      </c>
    </row>
    <row r="6" customFormat="false" ht="15" hidden="false" customHeight="true" outlineLevel="0" collapsed="false">
      <c r="A6" s="16" t="s">
        <v>52</v>
      </c>
      <c r="B6" s="13" t="n">
        <f aca="false">'Notation pondérée'!G7</f>
        <v>60</v>
      </c>
      <c r="C6" s="11" t="str">
        <f aca="false">'Notation pondérée'!J7</f>
        <v>non</v>
      </c>
    </row>
    <row r="7" customFormat="false" ht="15" hidden="false" customHeight="true" outlineLevel="0" collapsed="false">
      <c r="A7" s="16" t="s">
        <v>54</v>
      </c>
      <c r="B7" s="13" t="n">
        <f aca="false">'Notation pondérée'!G8</f>
        <v>88</v>
      </c>
      <c r="C7" s="11" t="str">
        <f aca="false">'Notation pondérée'!J8</f>
        <v>VALIDÉE</v>
      </c>
    </row>
    <row r="8" customFormat="false" ht="15" hidden="false" customHeight="true" outlineLevel="0" collapsed="false">
      <c r="A8" s="16" t="s">
        <v>55</v>
      </c>
      <c r="B8" s="13" t="n">
        <f aca="false">'Notation pondérée'!G9</f>
        <v>0</v>
      </c>
      <c r="C8" s="11" t="str">
        <f aca="false">'Notation pondérée'!J9</f>
        <v>non</v>
      </c>
    </row>
    <row r="10" customFormat="false" ht="15" hidden="false" customHeight="true" outlineLevel="0" collapsed="false">
      <c r="A10" s="25" t="s">
        <v>71</v>
      </c>
      <c r="B10" s="26"/>
    </row>
    <row r="11" customFormat="false" ht="15" hidden="false" customHeight="true" outlineLevel="0" collapsed="false">
      <c r="A11" s="25" t="s">
        <v>72</v>
      </c>
      <c r="B11" s="27"/>
      <c r="C11" s="27"/>
    </row>
    <row r="12" customFormat="false" ht="15" hidden="false" customHeight="true" outlineLevel="0" collapsed="false">
      <c r="B12" s="27"/>
      <c r="C12" s="27"/>
    </row>
  </sheetData>
  <mergeCells count="1">
    <mergeCell ref="B11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2026-07-29T13:39:16Z</dcterms:created>
  <dc:creator>openpyxl</dc:creator>
  <dc:description/>
  <dc:language>en-US</dc:language>
  <cp:lastModifiedBy/>
  <dcterms:modified xsi:type="dcterms:W3CDTF">2026-07-29T13:39:42Z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